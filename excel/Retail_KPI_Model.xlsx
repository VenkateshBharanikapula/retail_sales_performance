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jects\retail_sales_performance\excel\"/>
    </mc:Choice>
  </mc:AlternateContent>
  <xr:revisionPtr revIDLastSave="0" documentId="13_ncr:1_{874D7F64-2B3C-4BB2-8626-4A8D63A213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_Sales" sheetId="1" r:id="rId1"/>
    <sheet name="Category_Sales" sheetId="2" r:id="rId2"/>
    <sheet name="Region_Sa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2" i="1"/>
</calcChain>
</file>

<file path=xl/sharedStrings.xml><?xml version="1.0" encoding="utf-8"?>
<sst xmlns="http://schemas.openxmlformats.org/spreadsheetml/2006/main" count="67" uniqueCount="65">
  <si>
    <t>Year</t>
  </si>
  <si>
    <t>Month</t>
  </si>
  <si>
    <t>YearMonth</t>
  </si>
  <si>
    <t>Total_Sales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</si>
  <si>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</si>
  <si>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</si>
  <si>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</si>
  <si>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</si>
  <si>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</si>
  <si>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</si>
  <si>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</si>
  <si>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</si>
  <si>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</si>
  <si>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</si>
  <si>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</si>
  <si>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</si>
  <si>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</si>
  <si>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</si>
  <si>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</si>
  <si>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</si>
  <si>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</si>
  <si>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</si>
  <si>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</si>
  <si>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</si>
  <si>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</si>
  <si>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</si>
  <si>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</si>
  <si>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</si>
  <si>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</si>
  <si>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</si>
  <si>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</si>
  <si>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</si>
  <si>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</si>
  <si>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</si>
  <si>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</si>
  <si>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</si>
  <si>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</si>
  <si>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</si>
  <si>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</si>
  <si>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</si>
  <si>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</si>
  <si>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</si>
  <si>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</si>
  <si>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</si>
  <si>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</si>
  <si>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</si>
  <si>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</si>
  <si>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</si>
  <si>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</si>
  <si>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</si>
  <si>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</si>
  <si>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</si>
  <si>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Category</t>
  </si>
  <si>
    <t>Technology</t>
  </si>
  <si>
    <t>Furniture</t>
  </si>
  <si>
    <t>Office Supplies</t>
  </si>
  <si>
    <t>Region</t>
  </si>
  <si>
    <t>West</t>
  </si>
  <si>
    <t>East</t>
  </si>
  <si>
    <t>Central</t>
  </si>
  <si>
    <t>South</t>
  </si>
  <si>
    <t>Prev_Month_Sales</t>
  </si>
  <si>
    <t>MoM_Growth_%</t>
  </si>
  <si>
    <t>Prev_Year_Sales</t>
  </si>
  <si>
    <t>YoY_Growth_%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</si>
</sst>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/>
  </sheetViews>
  <sheetFormatPr defaultColWidth="4.77734375" defaultRowHeight="14.4" x14ac:dyDescent="0.3"/>
  <cols>
    <col min="1" max="1" width="5" bestFit="1" customWidth="1"/>
    <col min="2" max="2" width="6.77734375" bestFit="1" customWidth="1"/>
    <col min="3" max="3" width="10.44140625" bestFit="1" customWidth="1"/>
    <col min="4" max="4" width="11" bestFit="1" customWidth="1"/>
    <col min="5" max="5" width="16.88671875" bestFit="1" customWidth="1"/>
    <col min="6" max="6" width="15.44140625" bestFit="1" customWidth="1"/>
    <col min="7" max="7" width="14.77734375" bestFit="1" customWidth="1"/>
    <col min="8" max="8" width="13.88671875" bestFit="1" customWidth="1"/>
  </cols>
  <sheetData>
    <row r="1" spans="1:8" x14ac:dyDescent="0.3">
      <c r="A1" s="3" t="s">
        <v>0</v>
      </c>
      <c r="B1" s="1" t="s">
        <v>1</v>
      </c>
      <c r="C1" s="1" t="s">
        <v>2</v>
      </c>
      <c r="D1" s="1" t="s">
        <v>3</v>
      </c>
      <c r="E1" s="2" t="s">
        <v>61</v>
      </c>
      <c r="F1" s="2" t="s">
        <v>62</v>
      </c>
      <c r="G1" s="2" t="s">
        <v>63</v>
      </c>
      <c r="H1" s="2" t="s">
        <v>64</v>
      </c>
    </row>
    <row r="2" spans="1:8" x14ac:dyDescent="0.3">
      <c r="A2">
        <v>2015</v>
      </c>
      <c r="B2">
        <v>1</v>
      </c>
      <c r="C2" t="s">
        <v>4</v>
      </c>
      <c r="D2">
        <v>14205.707</v>
      </c>
      <c r="E2">
        <f>IF(ROW()=2,D2,D1)</f>
        <v>14205.707</v>
      </c>
      <c r="F2">
        <f>(D2-E2)/E2</f>
        <v>0</v>
      </c>
      <c r="G2">
        <f>IFERROR(SUMIFS($D:$D,$A:$A,A2-1,$B:$B,B2),D2)</f>
        <v>0</v>
      </c>
      <c r="H2">
        <f>IFERROR((D2-G2)/G2,0)</f>
        <v>0</v>
      </c>
    </row>
    <row r="3" spans="1:8" x14ac:dyDescent="0.3">
      <c r="A3">
        <v>2015</v>
      </c>
      <c r="B3">
        <v>2</v>
      </c>
      <c r="C3" t="s">
        <v>5</v>
      </c>
      <c r="D3">
        <v>4519.8919999999998</v>
      </c>
      <c r="E3">
        <f t="shared" ref="E3:E49" si="0">IF(ROW()=2,D3,D2)</f>
        <v>14205.707</v>
      </c>
      <c r="F3">
        <f t="shared" ref="F3:F49" si="1">(D3-E3)/E3</f>
        <v>-0.68182562120984191</v>
      </c>
      <c r="G3">
        <f t="shared" ref="G3:G49" si="2">IFERROR(SUMIFS($D:$D,$A:$A,A3-1,$B:$B,B3),D3)</f>
        <v>0</v>
      </c>
      <c r="H3">
        <f t="shared" ref="H3:H49" si="3">IFERROR((D3-G3)/G3,0)</f>
        <v>0</v>
      </c>
    </row>
    <row r="4" spans="1:8" x14ac:dyDescent="0.3">
      <c r="A4">
        <v>2015</v>
      </c>
      <c r="B4">
        <v>3</v>
      </c>
      <c r="C4" t="s">
        <v>6</v>
      </c>
      <c r="D4">
        <v>55205.796999999999</v>
      </c>
      <c r="E4">
        <f t="shared" si="0"/>
        <v>4519.8919999999998</v>
      </c>
      <c r="F4">
        <f t="shared" si="1"/>
        <v>11.213963740726548</v>
      </c>
      <c r="G4">
        <f t="shared" si="2"/>
        <v>0</v>
      </c>
      <c r="H4">
        <f t="shared" si="3"/>
        <v>0</v>
      </c>
    </row>
    <row r="5" spans="1:8" x14ac:dyDescent="0.3">
      <c r="A5">
        <v>2015</v>
      </c>
      <c r="B5">
        <v>4</v>
      </c>
      <c r="C5" t="s">
        <v>7</v>
      </c>
      <c r="D5">
        <v>27906.855</v>
      </c>
      <c r="E5">
        <f t="shared" si="0"/>
        <v>55205.796999999999</v>
      </c>
      <c r="F5">
        <f t="shared" si="1"/>
        <v>-0.49449411988382308</v>
      </c>
      <c r="G5">
        <f t="shared" si="2"/>
        <v>0</v>
      </c>
      <c r="H5">
        <f t="shared" si="3"/>
        <v>0</v>
      </c>
    </row>
    <row r="6" spans="1:8" x14ac:dyDescent="0.3">
      <c r="A6">
        <v>2015</v>
      </c>
      <c r="B6">
        <v>5</v>
      </c>
      <c r="C6" t="s">
        <v>8</v>
      </c>
      <c r="D6">
        <v>23644.303</v>
      </c>
      <c r="E6">
        <f t="shared" si="0"/>
        <v>27906.855</v>
      </c>
      <c r="F6">
        <f t="shared" si="1"/>
        <v>-0.15274211300413465</v>
      </c>
      <c r="G6">
        <f t="shared" si="2"/>
        <v>0</v>
      </c>
      <c r="H6">
        <f t="shared" si="3"/>
        <v>0</v>
      </c>
    </row>
    <row r="7" spans="1:8" x14ac:dyDescent="0.3">
      <c r="A7">
        <v>2015</v>
      </c>
      <c r="B7">
        <v>6</v>
      </c>
      <c r="C7" t="s">
        <v>9</v>
      </c>
      <c r="D7">
        <v>34322.935599999997</v>
      </c>
      <c r="E7">
        <f t="shared" si="0"/>
        <v>23644.303</v>
      </c>
      <c r="F7">
        <f t="shared" si="1"/>
        <v>0.45163659931104744</v>
      </c>
      <c r="G7">
        <f t="shared" si="2"/>
        <v>0</v>
      </c>
      <c r="H7">
        <f t="shared" si="3"/>
        <v>0</v>
      </c>
    </row>
    <row r="8" spans="1:8" x14ac:dyDescent="0.3">
      <c r="A8">
        <v>2015</v>
      </c>
      <c r="B8">
        <v>7</v>
      </c>
      <c r="C8" t="s">
        <v>10</v>
      </c>
      <c r="D8">
        <v>33781.542999999998</v>
      </c>
      <c r="E8">
        <f t="shared" si="0"/>
        <v>34322.935599999997</v>
      </c>
      <c r="F8">
        <f t="shared" si="1"/>
        <v>-1.5773493453747567E-2</v>
      </c>
      <c r="G8">
        <f t="shared" si="2"/>
        <v>0</v>
      </c>
      <c r="H8">
        <f t="shared" si="3"/>
        <v>0</v>
      </c>
    </row>
    <row r="9" spans="1:8" x14ac:dyDescent="0.3">
      <c r="A9">
        <v>2015</v>
      </c>
      <c r="B9">
        <v>8</v>
      </c>
      <c r="C9" t="s">
        <v>11</v>
      </c>
      <c r="D9">
        <v>27117.536499999998</v>
      </c>
      <c r="E9">
        <f t="shared" si="0"/>
        <v>33781.542999999998</v>
      </c>
      <c r="F9">
        <f t="shared" si="1"/>
        <v>-0.19726767661264022</v>
      </c>
      <c r="G9">
        <f t="shared" si="2"/>
        <v>0</v>
      </c>
      <c r="H9">
        <f t="shared" si="3"/>
        <v>0</v>
      </c>
    </row>
    <row r="10" spans="1:8" x14ac:dyDescent="0.3">
      <c r="A10">
        <v>2015</v>
      </c>
      <c r="B10">
        <v>9</v>
      </c>
      <c r="C10" t="s">
        <v>12</v>
      </c>
      <c r="D10">
        <v>81623.526800000007</v>
      </c>
      <c r="E10">
        <f t="shared" si="0"/>
        <v>27117.536499999998</v>
      </c>
      <c r="F10">
        <f t="shared" si="1"/>
        <v>2.0099904834644553</v>
      </c>
      <c r="G10">
        <f t="shared" si="2"/>
        <v>0</v>
      </c>
      <c r="H10">
        <f t="shared" si="3"/>
        <v>0</v>
      </c>
    </row>
    <row r="11" spans="1:8" x14ac:dyDescent="0.3">
      <c r="A11">
        <v>2015</v>
      </c>
      <c r="B11">
        <v>10</v>
      </c>
      <c r="C11" t="s">
        <v>13</v>
      </c>
      <c r="D11">
        <v>31453.393</v>
      </c>
      <c r="E11">
        <f t="shared" si="0"/>
        <v>81623.526800000007</v>
      </c>
      <c r="F11">
        <f t="shared" si="1"/>
        <v>-0.61465285521085822</v>
      </c>
      <c r="G11">
        <f t="shared" si="2"/>
        <v>0</v>
      </c>
      <c r="H11">
        <f t="shared" si="3"/>
        <v>0</v>
      </c>
    </row>
    <row r="12" spans="1:8" x14ac:dyDescent="0.3">
      <c r="A12">
        <v>2015</v>
      </c>
      <c r="B12">
        <v>11</v>
      </c>
      <c r="C12" t="s">
        <v>14</v>
      </c>
      <c r="D12">
        <v>77907.660700000008</v>
      </c>
      <c r="E12">
        <f t="shared" si="0"/>
        <v>31453.393</v>
      </c>
      <c r="F12">
        <f t="shared" si="1"/>
        <v>1.4769238949832857</v>
      </c>
      <c r="G12">
        <f t="shared" si="2"/>
        <v>0</v>
      </c>
      <c r="H12">
        <f t="shared" si="3"/>
        <v>0</v>
      </c>
    </row>
    <row r="13" spans="1:8" x14ac:dyDescent="0.3">
      <c r="A13">
        <v>2015</v>
      </c>
      <c r="B13">
        <v>12</v>
      </c>
      <c r="C13" t="s">
        <v>15</v>
      </c>
      <c r="D13">
        <v>68167.058499999999</v>
      </c>
      <c r="E13">
        <f t="shared" si="0"/>
        <v>77907.660700000008</v>
      </c>
      <c r="F13">
        <f t="shared" si="1"/>
        <v>-0.12502752762027172</v>
      </c>
      <c r="G13">
        <f t="shared" si="2"/>
        <v>0</v>
      </c>
      <c r="H13">
        <f t="shared" si="3"/>
        <v>0</v>
      </c>
    </row>
    <row r="14" spans="1:8" x14ac:dyDescent="0.3">
      <c r="A14">
        <v>2016</v>
      </c>
      <c r="B14">
        <v>1</v>
      </c>
      <c r="C14" t="s">
        <v>16</v>
      </c>
      <c r="D14">
        <v>18066.957600000002</v>
      </c>
      <c r="E14">
        <f t="shared" si="0"/>
        <v>68167.058499999999</v>
      </c>
      <c r="F14">
        <f t="shared" si="1"/>
        <v>-0.73496058070336123</v>
      </c>
      <c r="G14">
        <f t="shared" si="2"/>
        <v>14205.707</v>
      </c>
      <c r="H14">
        <f t="shared" si="3"/>
        <v>0.27180981559031175</v>
      </c>
    </row>
    <row r="15" spans="1:8" x14ac:dyDescent="0.3">
      <c r="A15">
        <v>2016</v>
      </c>
      <c r="B15">
        <v>2</v>
      </c>
      <c r="C15" t="s">
        <v>17</v>
      </c>
      <c r="D15">
        <v>11951.411</v>
      </c>
      <c r="E15">
        <f t="shared" si="0"/>
        <v>18066.957600000002</v>
      </c>
      <c r="F15">
        <f t="shared" si="1"/>
        <v>-0.33849343843038637</v>
      </c>
      <c r="G15">
        <f t="shared" si="2"/>
        <v>4519.8919999999998</v>
      </c>
      <c r="H15">
        <f t="shared" si="3"/>
        <v>1.6441806574139384</v>
      </c>
    </row>
    <row r="16" spans="1:8" x14ac:dyDescent="0.3">
      <c r="A16">
        <v>2016</v>
      </c>
      <c r="B16">
        <v>3</v>
      </c>
      <c r="C16" t="s">
        <v>18</v>
      </c>
      <c r="D16">
        <v>32339.3184</v>
      </c>
      <c r="E16">
        <f t="shared" si="0"/>
        <v>11951.411</v>
      </c>
      <c r="F16">
        <f t="shared" si="1"/>
        <v>1.7058996130247717</v>
      </c>
      <c r="G16">
        <f t="shared" si="2"/>
        <v>55205.796999999999</v>
      </c>
      <c r="H16">
        <f t="shared" si="3"/>
        <v>-0.41420430176925077</v>
      </c>
    </row>
    <row r="17" spans="1:8" x14ac:dyDescent="0.3">
      <c r="A17">
        <v>2016</v>
      </c>
      <c r="B17">
        <v>4</v>
      </c>
      <c r="C17" t="s">
        <v>19</v>
      </c>
      <c r="D17">
        <v>34154.468500000003</v>
      </c>
      <c r="E17">
        <f t="shared" si="0"/>
        <v>32339.3184</v>
      </c>
      <c r="F17">
        <f t="shared" si="1"/>
        <v>5.6128273253897722E-2</v>
      </c>
      <c r="G17">
        <f t="shared" si="2"/>
        <v>27906.855</v>
      </c>
      <c r="H17">
        <f t="shared" si="3"/>
        <v>0.22387379373275862</v>
      </c>
    </row>
    <row r="18" spans="1:8" x14ac:dyDescent="0.3">
      <c r="A18">
        <v>2016</v>
      </c>
      <c r="B18">
        <v>5</v>
      </c>
      <c r="C18" t="s">
        <v>20</v>
      </c>
      <c r="D18">
        <v>29959.530500000001</v>
      </c>
      <c r="E18">
        <f t="shared" si="0"/>
        <v>34154.468500000003</v>
      </c>
      <c r="F18">
        <f t="shared" si="1"/>
        <v>-0.12282252320805406</v>
      </c>
      <c r="G18">
        <f t="shared" si="2"/>
        <v>23644.303</v>
      </c>
      <c r="H18">
        <f t="shared" si="3"/>
        <v>0.26709298641622048</v>
      </c>
    </row>
    <row r="19" spans="1:8" x14ac:dyDescent="0.3">
      <c r="A19">
        <v>2016</v>
      </c>
      <c r="B19">
        <v>6</v>
      </c>
      <c r="C19" t="s">
        <v>21</v>
      </c>
      <c r="D19">
        <v>23599.374</v>
      </c>
      <c r="E19">
        <f t="shared" si="0"/>
        <v>29959.530500000001</v>
      </c>
      <c r="F19">
        <f t="shared" si="1"/>
        <v>-0.21229159448943971</v>
      </c>
      <c r="G19">
        <f t="shared" si="2"/>
        <v>34322.935599999997</v>
      </c>
      <c r="H19">
        <f t="shared" si="3"/>
        <v>-0.31243136440811892</v>
      </c>
    </row>
    <row r="20" spans="1:8" x14ac:dyDescent="0.3">
      <c r="A20">
        <v>2016</v>
      </c>
      <c r="B20">
        <v>7</v>
      </c>
      <c r="C20" t="s">
        <v>22</v>
      </c>
      <c r="D20">
        <v>28608.258999999998</v>
      </c>
      <c r="E20">
        <f t="shared" si="0"/>
        <v>23599.374</v>
      </c>
      <c r="F20">
        <f t="shared" si="1"/>
        <v>0.21224651975938</v>
      </c>
      <c r="G20">
        <f t="shared" si="2"/>
        <v>33781.542999999998</v>
      </c>
      <c r="H20">
        <f t="shared" si="3"/>
        <v>-0.15313936370520434</v>
      </c>
    </row>
    <row r="21" spans="1:8" x14ac:dyDescent="0.3">
      <c r="A21">
        <v>2016</v>
      </c>
      <c r="B21">
        <v>8</v>
      </c>
      <c r="C21" t="s">
        <v>23</v>
      </c>
      <c r="D21">
        <v>36818.342199999999</v>
      </c>
      <c r="E21">
        <f t="shared" si="0"/>
        <v>28608.258999999998</v>
      </c>
      <c r="F21">
        <f t="shared" si="1"/>
        <v>0.28698297229481884</v>
      </c>
      <c r="G21">
        <f t="shared" si="2"/>
        <v>27117.536499999998</v>
      </c>
      <c r="H21">
        <f t="shared" si="3"/>
        <v>0.35773182051400582</v>
      </c>
    </row>
    <row r="22" spans="1:8" x14ac:dyDescent="0.3">
      <c r="A22">
        <v>2016</v>
      </c>
      <c r="B22">
        <v>9</v>
      </c>
      <c r="C22" t="s">
        <v>24</v>
      </c>
      <c r="D22">
        <v>63133.606</v>
      </c>
      <c r="E22">
        <f t="shared" si="0"/>
        <v>36818.342199999999</v>
      </c>
      <c r="F22">
        <f t="shared" si="1"/>
        <v>0.71473244659016721</v>
      </c>
      <c r="G22">
        <f t="shared" si="2"/>
        <v>81623.526800000007</v>
      </c>
      <c r="H22">
        <f t="shared" si="3"/>
        <v>-0.22652685475482304</v>
      </c>
    </row>
    <row r="23" spans="1:8" x14ac:dyDescent="0.3">
      <c r="A23">
        <v>2016</v>
      </c>
      <c r="B23">
        <v>10</v>
      </c>
      <c r="C23" t="s">
        <v>25</v>
      </c>
      <c r="D23">
        <v>31011.737499999999</v>
      </c>
      <c r="E23">
        <f t="shared" si="0"/>
        <v>63133.606</v>
      </c>
      <c r="F23">
        <f t="shared" si="1"/>
        <v>-0.50879191820597103</v>
      </c>
      <c r="G23">
        <f t="shared" si="2"/>
        <v>31453.393</v>
      </c>
      <c r="H23">
        <f t="shared" si="3"/>
        <v>-1.4041585275076707E-2</v>
      </c>
    </row>
    <row r="24" spans="1:8" x14ac:dyDescent="0.3">
      <c r="A24">
        <v>2016</v>
      </c>
      <c r="B24">
        <v>11</v>
      </c>
      <c r="C24" t="s">
        <v>26</v>
      </c>
      <c r="D24">
        <v>75249.3995</v>
      </c>
      <c r="E24">
        <f t="shared" si="0"/>
        <v>31011.737499999999</v>
      </c>
      <c r="F24">
        <f t="shared" si="1"/>
        <v>1.4264812476243873</v>
      </c>
      <c r="G24">
        <f t="shared" si="2"/>
        <v>77907.660700000008</v>
      </c>
      <c r="H24">
        <f t="shared" si="3"/>
        <v>-3.412066510681417E-2</v>
      </c>
    </row>
    <row r="25" spans="1:8" x14ac:dyDescent="0.3">
      <c r="A25">
        <v>2016</v>
      </c>
      <c r="B25">
        <v>12</v>
      </c>
      <c r="C25" t="s">
        <v>27</v>
      </c>
      <c r="D25">
        <v>74543.601200000005</v>
      </c>
      <c r="E25">
        <f t="shared" si="0"/>
        <v>75249.3995</v>
      </c>
      <c r="F25">
        <f t="shared" si="1"/>
        <v>-9.379454250661428E-3</v>
      </c>
      <c r="G25">
        <f t="shared" si="2"/>
        <v>68167.058499999999</v>
      </c>
      <c r="H25">
        <f t="shared" si="3"/>
        <v>9.3542875991928065E-2</v>
      </c>
    </row>
    <row r="26" spans="1:8" x14ac:dyDescent="0.3">
      <c r="A26">
        <v>2017</v>
      </c>
      <c r="B26">
        <v>1</v>
      </c>
      <c r="C26" t="s">
        <v>28</v>
      </c>
      <c r="D26">
        <v>18542.491000000002</v>
      </c>
      <c r="E26">
        <f t="shared" si="0"/>
        <v>74543.601200000005</v>
      </c>
      <c r="F26">
        <f t="shared" si="1"/>
        <v>-0.7512530827394478</v>
      </c>
      <c r="G26">
        <f t="shared" si="2"/>
        <v>18066.957600000002</v>
      </c>
      <c r="H26">
        <f t="shared" si="3"/>
        <v>2.6320613051087263E-2</v>
      </c>
    </row>
    <row r="27" spans="1:8" x14ac:dyDescent="0.3">
      <c r="A27">
        <v>2017</v>
      </c>
      <c r="B27">
        <v>2</v>
      </c>
      <c r="C27" t="s">
        <v>29</v>
      </c>
      <c r="D27">
        <v>22978.814999999999</v>
      </c>
      <c r="E27">
        <f t="shared" si="0"/>
        <v>18542.491000000002</v>
      </c>
      <c r="F27">
        <f t="shared" si="1"/>
        <v>0.23925178121968599</v>
      </c>
      <c r="G27">
        <f t="shared" si="2"/>
        <v>11951.411</v>
      </c>
      <c r="H27">
        <f t="shared" si="3"/>
        <v>0.9226863673251634</v>
      </c>
    </row>
    <row r="28" spans="1:8" x14ac:dyDescent="0.3">
      <c r="A28">
        <v>2017</v>
      </c>
      <c r="B28">
        <v>3</v>
      </c>
      <c r="C28" t="s">
        <v>30</v>
      </c>
      <c r="D28">
        <v>51165.059000000001</v>
      </c>
      <c r="E28">
        <f t="shared" si="0"/>
        <v>22978.814999999999</v>
      </c>
      <c r="F28">
        <f t="shared" si="1"/>
        <v>1.2266186920430842</v>
      </c>
      <c r="G28">
        <f t="shared" si="2"/>
        <v>32339.3184</v>
      </c>
      <c r="H28">
        <f t="shared" si="3"/>
        <v>0.5821316444319371</v>
      </c>
    </row>
    <row r="29" spans="1:8" x14ac:dyDescent="0.3">
      <c r="A29">
        <v>2017</v>
      </c>
      <c r="B29">
        <v>4</v>
      </c>
      <c r="C29" t="s">
        <v>31</v>
      </c>
      <c r="D29">
        <v>38679.767</v>
      </c>
      <c r="E29">
        <f t="shared" si="0"/>
        <v>51165.059000000001</v>
      </c>
      <c r="F29">
        <f t="shared" si="1"/>
        <v>-0.24401988865096394</v>
      </c>
      <c r="G29">
        <f t="shared" si="2"/>
        <v>34154.468500000003</v>
      </c>
      <c r="H29">
        <f t="shared" si="3"/>
        <v>0.1324950642988339</v>
      </c>
    </row>
    <row r="30" spans="1:8" x14ac:dyDescent="0.3">
      <c r="A30">
        <v>2017</v>
      </c>
      <c r="B30">
        <v>5</v>
      </c>
      <c r="C30" t="s">
        <v>32</v>
      </c>
      <c r="D30">
        <v>56656.908000000003</v>
      </c>
      <c r="E30">
        <f t="shared" si="0"/>
        <v>38679.767</v>
      </c>
      <c r="F30">
        <f t="shared" si="1"/>
        <v>0.46476859594319697</v>
      </c>
      <c r="G30">
        <f t="shared" si="2"/>
        <v>29959.530500000001</v>
      </c>
      <c r="H30">
        <f t="shared" si="3"/>
        <v>0.89111468218769319</v>
      </c>
    </row>
    <row r="31" spans="1:8" x14ac:dyDescent="0.3">
      <c r="A31">
        <v>2017</v>
      </c>
      <c r="B31">
        <v>6</v>
      </c>
      <c r="C31" t="s">
        <v>33</v>
      </c>
      <c r="D31">
        <v>39724.485999999997</v>
      </c>
      <c r="E31">
        <f t="shared" si="0"/>
        <v>56656.908000000003</v>
      </c>
      <c r="F31">
        <f t="shared" si="1"/>
        <v>-0.29885891407981541</v>
      </c>
      <c r="G31">
        <f t="shared" si="2"/>
        <v>23599.374</v>
      </c>
      <c r="H31">
        <f t="shared" si="3"/>
        <v>0.68328558206671064</v>
      </c>
    </row>
    <row r="32" spans="1:8" x14ac:dyDescent="0.3">
      <c r="A32">
        <v>2017</v>
      </c>
      <c r="B32">
        <v>7</v>
      </c>
      <c r="C32" t="s">
        <v>34</v>
      </c>
      <c r="D32">
        <v>38320.783000000003</v>
      </c>
      <c r="E32">
        <f t="shared" si="0"/>
        <v>39724.485999999997</v>
      </c>
      <c r="F32">
        <f t="shared" si="1"/>
        <v>-3.5335963818386329E-2</v>
      </c>
      <c r="G32">
        <f t="shared" si="2"/>
        <v>28608.258999999998</v>
      </c>
      <c r="H32">
        <f t="shared" si="3"/>
        <v>0.33950070152818479</v>
      </c>
    </row>
    <row r="33" spans="1:8" x14ac:dyDescent="0.3">
      <c r="A33">
        <v>2017</v>
      </c>
      <c r="B33">
        <v>8</v>
      </c>
      <c r="C33" t="s">
        <v>35</v>
      </c>
      <c r="D33">
        <v>30542.2003</v>
      </c>
      <c r="E33">
        <f t="shared" si="0"/>
        <v>38320.783000000003</v>
      </c>
      <c r="F33">
        <f t="shared" si="1"/>
        <v>-0.20298600631411948</v>
      </c>
      <c r="G33">
        <f t="shared" si="2"/>
        <v>36818.342199999999</v>
      </c>
      <c r="H33">
        <f t="shared" si="3"/>
        <v>-0.17046237079082824</v>
      </c>
    </row>
    <row r="34" spans="1:8" x14ac:dyDescent="0.3">
      <c r="A34">
        <v>2017</v>
      </c>
      <c r="B34">
        <v>9</v>
      </c>
      <c r="C34" t="s">
        <v>36</v>
      </c>
      <c r="D34">
        <v>69193.390899999999</v>
      </c>
      <c r="E34">
        <f t="shared" si="0"/>
        <v>30542.2003</v>
      </c>
      <c r="F34">
        <f t="shared" si="1"/>
        <v>1.265501182637454</v>
      </c>
      <c r="G34">
        <f t="shared" si="2"/>
        <v>63133.606</v>
      </c>
      <c r="H34">
        <f t="shared" si="3"/>
        <v>9.5983506787177639E-2</v>
      </c>
    </row>
    <row r="35" spans="1:8" x14ac:dyDescent="0.3">
      <c r="A35">
        <v>2017</v>
      </c>
      <c r="B35">
        <v>10</v>
      </c>
      <c r="C35" t="s">
        <v>37</v>
      </c>
      <c r="D35">
        <v>59583.033000000003</v>
      </c>
      <c r="E35">
        <f t="shared" si="0"/>
        <v>69193.390899999999</v>
      </c>
      <c r="F35">
        <f t="shared" si="1"/>
        <v>-0.13889126945504265</v>
      </c>
      <c r="G35">
        <f t="shared" si="2"/>
        <v>31011.737499999999</v>
      </c>
      <c r="H35">
        <f t="shared" si="3"/>
        <v>0.92130586040204954</v>
      </c>
    </row>
    <row r="36" spans="1:8" x14ac:dyDescent="0.3">
      <c r="A36">
        <v>2017</v>
      </c>
      <c r="B36">
        <v>11</v>
      </c>
      <c r="C36" t="s">
        <v>38</v>
      </c>
      <c r="D36">
        <v>79066.495800000004</v>
      </c>
      <c r="E36">
        <f t="shared" si="0"/>
        <v>59583.033000000003</v>
      </c>
      <c r="F36">
        <f t="shared" si="1"/>
        <v>0.3269968281070888</v>
      </c>
      <c r="G36">
        <f t="shared" si="2"/>
        <v>75249.3995</v>
      </c>
      <c r="H36">
        <f t="shared" si="3"/>
        <v>5.0725937022261615E-2</v>
      </c>
    </row>
    <row r="37" spans="1:8" x14ac:dyDescent="0.3">
      <c r="A37">
        <v>2017</v>
      </c>
      <c r="B37">
        <v>12</v>
      </c>
      <c r="C37" t="s">
        <v>39</v>
      </c>
      <c r="D37">
        <v>95739.120999999999</v>
      </c>
      <c r="E37">
        <f t="shared" si="0"/>
        <v>79066.495800000004</v>
      </c>
      <c r="F37">
        <f t="shared" si="1"/>
        <v>0.21086839667428381</v>
      </c>
      <c r="G37">
        <f t="shared" si="2"/>
        <v>74543.601200000005</v>
      </c>
      <c r="H37">
        <f t="shared" si="3"/>
        <v>0.28433721283645191</v>
      </c>
    </row>
    <row r="38" spans="1:8" x14ac:dyDescent="0.3">
      <c r="A38">
        <v>2018</v>
      </c>
      <c r="B38">
        <v>1</v>
      </c>
      <c r="C38" t="s">
        <v>40</v>
      </c>
      <c r="D38">
        <v>43476.474000000002</v>
      </c>
      <c r="E38">
        <f t="shared" si="0"/>
        <v>95739.120999999999</v>
      </c>
      <c r="F38">
        <f t="shared" si="1"/>
        <v>-0.54588601246923918</v>
      </c>
      <c r="G38">
        <f t="shared" si="2"/>
        <v>18542.491000000002</v>
      </c>
      <c r="H38">
        <f t="shared" si="3"/>
        <v>1.3446943563300098</v>
      </c>
    </row>
    <row r="39" spans="1:8" x14ac:dyDescent="0.3">
      <c r="A39">
        <v>2018</v>
      </c>
      <c r="B39">
        <v>2</v>
      </c>
      <c r="C39" t="s">
        <v>41</v>
      </c>
      <c r="D39">
        <v>19920.9974</v>
      </c>
      <c r="E39">
        <f t="shared" si="0"/>
        <v>43476.474000000002</v>
      </c>
      <c r="F39">
        <f t="shared" si="1"/>
        <v>-0.54179822862359994</v>
      </c>
      <c r="G39">
        <f t="shared" si="2"/>
        <v>22978.814999999999</v>
      </c>
      <c r="H39">
        <f t="shared" si="3"/>
        <v>-0.13307116141541669</v>
      </c>
    </row>
    <row r="40" spans="1:8" x14ac:dyDescent="0.3">
      <c r="A40">
        <v>2018</v>
      </c>
      <c r="B40">
        <v>3</v>
      </c>
      <c r="C40" t="s">
        <v>42</v>
      </c>
      <c r="D40">
        <v>58863.412799999998</v>
      </c>
      <c r="E40">
        <f t="shared" si="0"/>
        <v>19920.9974</v>
      </c>
      <c r="F40">
        <f t="shared" si="1"/>
        <v>1.9548426526073437</v>
      </c>
      <c r="G40">
        <f t="shared" si="2"/>
        <v>51165.059000000001</v>
      </c>
      <c r="H40">
        <f t="shared" si="3"/>
        <v>0.15046115357748335</v>
      </c>
    </row>
    <row r="41" spans="1:8" x14ac:dyDescent="0.3">
      <c r="A41">
        <v>2018</v>
      </c>
      <c r="B41">
        <v>4</v>
      </c>
      <c r="C41" t="s">
        <v>43</v>
      </c>
      <c r="D41">
        <v>35541.910100000001</v>
      </c>
      <c r="E41">
        <f t="shared" si="0"/>
        <v>58863.412799999998</v>
      </c>
      <c r="F41">
        <f t="shared" si="1"/>
        <v>-0.39619691741692553</v>
      </c>
      <c r="G41">
        <f t="shared" si="2"/>
        <v>38679.767</v>
      </c>
      <c r="H41">
        <f t="shared" si="3"/>
        <v>-8.1123986605193321E-2</v>
      </c>
    </row>
    <row r="42" spans="1:8" x14ac:dyDescent="0.3">
      <c r="A42">
        <v>2018</v>
      </c>
      <c r="B42">
        <v>5</v>
      </c>
      <c r="C42" t="s">
        <v>44</v>
      </c>
      <c r="D42">
        <v>43825.982199999999</v>
      </c>
      <c r="E42">
        <f t="shared" si="0"/>
        <v>35541.910100000001</v>
      </c>
      <c r="F42">
        <f t="shared" si="1"/>
        <v>0.23307897849868225</v>
      </c>
      <c r="G42">
        <f t="shared" si="2"/>
        <v>56656.908000000003</v>
      </c>
      <c r="H42">
        <f t="shared" si="3"/>
        <v>-0.22646710265233683</v>
      </c>
    </row>
    <row r="43" spans="1:8" x14ac:dyDescent="0.3">
      <c r="A43">
        <v>2018</v>
      </c>
      <c r="B43">
        <v>6</v>
      </c>
      <c r="C43" t="s">
        <v>45</v>
      </c>
      <c r="D43">
        <v>48190.727700000003</v>
      </c>
      <c r="E43">
        <f t="shared" si="0"/>
        <v>43825.982199999999</v>
      </c>
      <c r="F43">
        <f t="shared" si="1"/>
        <v>9.9592645296150487E-2</v>
      </c>
      <c r="G43">
        <f t="shared" si="2"/>
        <v>39724.485999999997</v>
      </c>
      <c r="H43">
        <f t="shared" si="3"/>
        <v>0.21312400870334752</v>
      </c>
    </row>
    <row r="44" spans="1:8" x14ac:dyDescent="0.3">
      <c r="A44">
        <v>2018</v>
      </c>
      <c r="B44">
        <v>7</v>
      </c>
      <c r="C44" t="s">
        <v>46</v>
      </c>
      <c r="D44">
        <v>44825.103999999999</v>
      </c>
      <c r="E44">
        <f t="shared" si="0"/>
        <v>48190.727700000003</v>
      </c>
      <c r="F44">
        <f t="shared" si="1"/>
        <v>-6.9839652992000859E-2</v>
      </c>
      <c r="G44">
        <f t="shared" si="2"/>
        <v>38320.783000000003</v>
      </c>
      <c r="H44">
        <f t="shared" si="3"/>
        <v>0.16973350988156991</v>
      </c>
    </row>
    <row r="45" spans="1:8" x14ac:dyDescent="0.3">
      <c r="A45">
        <v>2018</v>
      </c>
      <c r="B45">
        <v>8</v>
      </c>
      <c r="C45" t="s">
        <v>47</v>
      </c>
      <c r="D45">
        <v>62837.847999999998</v>
      </c>
      <c r="E45">
        <f t="shared" si="0"/>
        <v>44825.103999999999</v>
      </c>
      <c r="F45">
        <f t="shared" si="1"/>
        <v>0.40184500185431804</v>
      </c>
      <c r="G45">
        <f t="shared" si="2"/>
        <v>30542.2003</v>
      </c>
      <c r="H45">
        <f t="shared" si="3"/>
        <v>1.0574106443798026</v>
      </c>
    </row>
    <row r="46" spans="1:8" x14ac:dyDescent="0.3">
      <c r="A46">
        <v>2018</v>
      </c>
      <c r="B46">
        <v>9</v>
      </c>
      <c r="C46" t="s">
        <v>48</v>
      </c>
      <c r="D46">
        <v>86152.888000000006</v>
      </c>
      <c r="E46">
        <f t="shared" si="0"/>
        <v>62837.847999999998</v>
      </c>
      <c r="F46">
        <f t="shared" si="1"/>
        <v>0.37103498515735306</v>
      </c>
      <c r="G46">
        <f t="shared" si="2"/>
        <v>69193.390899999999</v>
      </c>
      <c r="H46">
        <f t="shared" si="3"/>
        <v>0.24510284695413023</v>
      </c>
    </row>
    <row r="47" spans="1:8" x14ac:dyDescent="0.3">
      <c r="A47">
        <v>2018</v>
      </c>
      <c r="B47">
        <v>10</v>
      </c>
      <c r="C47" t="s">
        <v>49</v>
      </c>
      <c r="D47">
        <v>77448.131200000003</v>
      </c>
      <c r="E47">
        <f t="shared" si="0"/>
        <v>86152.888000000006</v>
      </c>
      <c r="F47">
        <f t="shared" si="1"/>
        <v>-0.10103847940651743</v>
      </c>
      <c r="G47">
        <f t="shared" si="2"/>
        <v>59583.033000000003</v>
      </c>
      <c r="H47">
        <f t="shared" si="3"/>
        <v>0.29983532728184548</v>
      </c>
    </row>
    <row r="48" spans="1:8" x14ac:dyDescent="0.3">
      <c r="A48">
        <v>2018</v>
      </c>
      <c r="B48">
        <v>11</v>
      </c>
      <c r="C48" t="s">
        <v>50</v>
      </c>
      <c r="D48">
        <v>117938.155</v>
      </c>
      <c r="E48">
        <f t="shared" si="0"/>
        <v>77448.131200000003</v>
      </c>
      <c r="F48">
        <f t="shared" si="1"/>
        <v>0.5228018181024876</v>
      </c>
      <c r="G48">
        <f t="shared" si="2"/>
        <v>79066.495800000004</v>
      </c>
      <c r="H48">
        <f t="shared" si="3"/>
        <v>0.49163250257512986</v>
      </c>
    </row>
    <row r="49" spans="1:8" x14ac:dyDescent="0.3">
      <c r="A49">
        <v>2018</v>
      </c>
      <c r="B49">
        <v>12</v>
      </c>
      <c r="C49" t="s">
        <v>51</v>
      </c>
      <c r="D49">
        <v>83030.388800000001</v>
      </c>
      <c r="E49">
        <f t="shared" si="0"/>
        <v>117938.155</v>
      </c>
      <c r="F49">
        <f t="shared" si="1"/>
        <v>-0.29598365516231789</v>
      </c>
      <c r="G49">
        <f t="shared" si="2"/>
        <v>95739.120999999999</v>
      </c>
      <c r="H49">
        <f t="shared" si="3"/>
        <v>-0.13274335576989471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cols>
    <col min="1" max="1" width="13.109375" bestFit="1" customWidth="1"/>
    <col min="2" max="2" width="12" bestFit="1" customWidth="1"/>
  </cols>
  <sheetData>
    <row r="1" spans="1:2" x14ac:dyDescent="0.3">
      <c r="A1" s="1" t="s">
        <v>52</v>
      </c>
      <c r="B1" s="1" t="s">
        <v>3</v>
      </c>
    </row>
    <row r="2" spans="1:2" x14ac:dyDescent="0.3">
      <c r="A2" t="s">
        <v>53</v>
      </c>
      <c r="B2">
        <v>827455.87300000002</v>
      </c>
    </row>
    <row r="3" spans="1:2" x14ac:dyDescent="0.3">
      <c r="A3" t="s">
        <v>54</v>
      </c>
      <c r="B3">
        <v>728658.57570000004</v>
      </c>
    </row>
    <row r="4" spans="1:2" x14ac:dyDescent="0.3">
      <c r="A4" t="s">
        <v>55</v>
      </c>
      <c r="B4">
        <v>705422.33400000003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4" x14ac:dyDescent="0.3"/>
  <cols>
    <col min="1" max="1" width="6.88671875" bestFit="1" customWidth="1"/>
    <col min="2" max="2" width="12" bestFit="1" customWidth="1"/>
  </cols>
  <sheetData>
    <row r="1" spans="1:2" x14ac:dyDescent="0.3">
      <c r="A1" s="1" t="s">
        <v>56</v>
      </c>
      <c r="B1" s="1" t="s">
        <v>3</v>
      </c>
    </row>
    <row r="2" spans="1:2" x14ac:dyDescent="0.3">
      <c r="A2" t="s">
        <v>57</v>
      </c>
      <c r="B2">
        <v>710219.68449999997</v>
      </c>
    </row>
    <row r="3" spans="1:2" x14ac:dyDescent="0.3">
      <c r="A3" t="s">
        <v>58</v>
      </c>
      <c r="B3">
        <v>669518.72600000002</v>
      </c>
    </row>
    <row r="4" spans="1:2" x14ac:dyDescent="0.3">
      <c r="A4" t="s">
        <v>59</v>
      </c>
      <c r="B4">
        <v>492646.91320000001</v>
      </c>
    </row>
    <row r="5" spans="1:2" x14ac:dyDescent="0.3">
      <c r="A5" t="s">
        <v>60</v>
      </c>
      <c r="B5">
        <v>389151.45899999997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Monthly_Sales</vt:lpstr>
      <vt:lpstr>Category_Sales</vt:lpstr>
      <vt:lpstr>Region_Sales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Venkatesh Bharanikapula</cp:lastModifiedBy>
  <dcterms:created xsi:type="dcterms:W3CDTF">2026-02-20T06:24:01Z</dcterms:created>
  <dcterms:modified xsi:type="dcterms:W3CDTF">2026-02-20T06:55:06Z</dcterms:modified>
</cp:coreProperties>
</file>